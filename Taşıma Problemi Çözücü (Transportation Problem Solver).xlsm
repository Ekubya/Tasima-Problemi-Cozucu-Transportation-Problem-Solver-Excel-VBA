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o ve Makrolar" sheetId="1" state="visible" r:id="rId4"/>
  </sheets>
  <definedNames>
    <definedName function="false" hidden="false" name="Demand" vbProcedure="false">#REF!</definedName>
    <definedName function="false" hidden="false" name="Kapasite" vbProcedure="false">#REF!</definedName>
    <definedName function="false" hidden="false" name="Meet" vbProcedure="false">#REF!</definedName>
    <definedName function="false" hidden="false" name="Talep" vbProcedure="false">#REF!</definedName>
    <definedName function="false" hidden="false" name="ToplamMaliyet" vbProcedure="false">#REF!</definedName>
    <definedName function="false" hidden="false" name="Used" vbProcedure="false">#REF!</definedName>
    <definedName function="false" hidden="false" localSheetId="0" name="Demand" vbProcedure="false">'Tablo ve Makrolar'!$B$20:$G$20</definedName>
    <definedName function="false" hidden="false" localSheetId="0" name="Kapasite" vbProcedure="false">'Tablo ve Makrolar'!$H$3:$H$7</definedName>
    <definedName function="false" hidden="false" localSheetId="0" name="Meet" vbProcedure="false">'Tablo ve Makrolar'!$B$18:$G$18</definedName>
    <definedName function="false" hidden="false" localSheetId="0" name="Miktar" vbProcedure="false">'Tablo ve Makrolar'!$B$13:$G$17</definedName>
    <definedName function="false" hidden="false" localSheetId="0" name="MyCost" vbProcedure="false">'Tablo ve Makrolar'!$B$3:$G$7</definedName>
    <definedName function="false" hidden="false" localSheetId="0" name="Talep" vbProcedure="false">'Tablo ve Makrolar'!$B$8:$G$8</definedName>
    <definedName function="false" hidden="false" localSheetId="0" name="ToplamMaliyet" vbProcedure="false">'Tablo ve Makrolar'!$H$19</definedName>
    <definedName function="false" hidden="false" localSheetId="0" name="Used" vbProcedure="false">'Tablo ve Makrolar'!$H$13:$H$17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<sst xmlns="http://schemas.openxmlformats.org/spreadsheetml/2006/main" count="44" uniqueCount="24">
  <si>
    <t xml:space="preserve">Unit Transportation Cost Table</t>
  </si>
  <si>
    <t xml:space="preserve">D1</t>
  </si>
  <si>
    <t xml:space="preserve">D2</t>
  </si>
  <si>
    <t xml:space="preserve">D3</t>
  </si>
  <si>
    <t xml:space="preserve">D4</t>
  </si>
  <si>
    <t xml:space="preserve">D5</t>
  </si>
  <si>
    <t xml:space="preserve">D6</t>
  </si>
  <si>
    <t xml:space="preserve">Capacity</t>
  </si>
  <si>
    <t xml:space="preserve">F1</t>
  </si>
  <si>
    <t xml:space="preserve">F2</t>
  </si>
  <si>
    <t xml:space="preserve">F3</t>
  </si>
  <si>
    <t xml:space="preserve">F4</t>
  </si>
  <si>
    <t xml:space="preserve">F5</t>
  </si>
  <si>
    <t xml:space="preserve">Talep</t>
  </si>
  <si>
    <t xml:space="preserve">Total Capacity</t>
  </si>
  <si>
    <t xml:space="preserve">Total Demand</t>
  </si>
  <si>
    <t xml:space="preserve">Distribution Plan</t>
  </si>
  <si>
    <t xml:space="preserve">Transportation Quantities</t>
  </si>
  <si>
    <t xml:space="preserve">Used</t>
  </si>
  <si>
    <t xml:space="preserve">&lt;=</t>
  </si>
  <si>
    <t xml:space="preserve">Meet</t>
  </si>
  <si>
    <t xml:space="preserve">&gt;=</t>
  </si>
  <si>
    <t xml:space="preserve">Demand</t>
  </si>
  <si>
    <t xml:space="preserve">Total Cost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</si>
</sst>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3F3F3F"/>
      <name val="Calibri"/>
      <family val="2"/>
      <charset val="162"/>
    </font>
    <font>
      <sz val="11"/>
      <color theme="0"/>
      <name val="Calibri"/>
      <family val="2"/>
      <charset val="162"/>
    </font>
    <font>
      <b val="true"/>
      <sz val="11"/>
      <color theme="0"/>
      <name val="Calibri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rgb="FFF2F2F2"/>
        <bgColor rgb="FFE2F0D9"/>
      </patternFill>
    </fill>
    <fill>
      <patternFill patternType="solid">
        <fgColor theme="4"/>
        <bgColor rgb="FF969696"/>
      </patternFill>
    </fill>
    <fill>
      <patternFill patternType="solid">
        <fgColor theme="9" tint="0.7999"/>
        <bgColor rgb="FFF2F2F2"/>
      </patternFill>
    </fill>
    <fill>
      <patternFill patternType="solid">
        <fgColor rgb="FFFFC000"/>
        <bgColor rgb="FFFF9900"/>
      </patternFill>
    </fill>
    <fill>
      <patternFill patternType="solid">
        <fgColor rgb="FFEE0000"/>
        <bgColor rgb="FF8000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2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Output" xfId="20"/>
    <cellStyle name="Excel Built-in Accent1" xfId="21"/>
  </cellStyles>
  <colors>
    <indexedColors>
      <rgbColor rgb="FF000000"/>
      <rgbColor rgb="FFFFFFFF"/>
      <rgbColor rgb="FFEE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5B9BD5"/>
      <rgbColor rgb="FF993366"/>
      <rgbColor rgb="FFF2F2F2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26" activeCellId="0" sqref="H26"/>
    </sheetView>
  </sheetViews>
  <sheetFormatPr defaultColWidth="8.6796875" defaultRowHeight="14.25" zeroHeight="false" outlineLevelRow="0" outlineLevelCol="0"/>
  <sheetData>
    <row r="1" customFormat="false" ht="14.25" hidden="false" customHeight="false" outlineLevel="0" collapsed="false">
      <c r="B1" s="1" t="s">
        <v>0</v>
      </c>
      <c r="C1" s="1"/>
      <c r="D1" s="1"/>
    </row>
    <row r="2" customFormat="false" ht="14.25" hidden="false" customHeight="false" outlineLevel="0" collapsed="false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4" t="s">
        <v>7</v>
      </c>
    </row>
    <row r="3" customFormat="false" ht="14.25" hidden="false" customHeight="false" outlineLevel="0" collapsed="false">
      <c r="A3" s="5" t="s">
        <v>8</v>
      </c>
      <c r="B3" s="6" t="n">
        <v>47</v>
      </c>
      <c r="C3" s="6" t="n">
        <v>143</v>
      </c>
      <c r="D3" s="6" t="n">
        <v>90</v>
      </c>
      <c r="E3" s="6" t="n">
        <v>105</v>
      </c>
      <c r="F3" s="6" t="n">
        <v>43</v>
      </c>
      <c r="G3" s="6" t="n">
        <v>129</v>
      </c>
      <c r="H3" s="7" t="n">
        <v>650</v>
      </c>
    </row>
    <row r="4" customFormat="false" ht="14.25" hidden="false" customHeight="false" outlineLevel="0" collapsed="false">
      <c r="A4" s="5" t="s">
        <v>9</v>
      </c>
      <c r="B4" s="6" t="n">
        <v>67</v>
      </c>
      <c r="C4" s="6" t="n">
        <v>122</v>
      </c>
      <c r="D4" s="6" t="n">
        <v>75</v>
      </c>
      <c r="E4" s="6" t="n">
        <v>1</v>
      </c>
      <c r="F4" s="6" t="n">
        <v>104</v>
      </c>
      <c r="G4" s="6" t="n">
        <v>69</v>
      </c>
      <c r="H4" s="7" t="n">
        <v>550</v>
      </c>
    </row>
    <row r="5" customFormat="false" ht="14.25" hidden="false" customHeight="false" outlineLevel="0" collapsed="false">
      <c r="A5" s="5" t="s">
        <v>10</v>
      </c>
      <c r="B5" s="6" t="n">
        <v>125</v>
      </c>
      <c r="C5" s="6" t="n">
        <v>30</v>
      </c>
      <c r="D5" s="6" t="n">
        <v>12</v>
      </c>
      <c r="E5" s="6" t="n">
        <v>111</v>
      </c>
      <c r="F5" s="6" t="n">
        <v>90</v>
      </c>
      <c r="G5" s="6" t="n">
        <v>35</v>
      </c>
      <c r="H5" s="7" t="n">
        <v>600</v>
      </c>
    </row>
    <row r="6" customFormat="false" ht="14.25" hidden="false" customHeight="false" outlineLevel="0" collapsed="false">
      <c r="A6" s="5" t="s">
        <v>11</v>
      </c>
      <c r="B6" s="6" t="n">
        <v>83</v>
      </c>
      <c r="C6" s="6" t="n">
        <v>131</v>
      </c>
      <c r="D6" s="6" t="n">
        <v>100</v>
      </c>
      <c r="E6" s="6" t="n">
        <v>144</v>
      </c>
      <c r="F6" s="6" t="n">
        <v>131</v>
      </c>
      <c r="G6" s="6" t="n">
        <v>41</v>
      </c>
      <c r="H6" s="7" t="n">
        <v>850</v>
      </c>
    </row>
    <row r="7" customFormat="false" ht="14.25" hidden="false" customHeight="false" outlineLevel="0" collapsed="false">
      <c r="A7" s="5" t="s">
        <v>12</v>
      </c>
      <c r="B7" s="6" t="n">
        <v>70</v>
      </c>
      <c r="C7" s="6" t="n">
        <v>83</v>
      </c>
      <c r="D7" s="6" t="n">
        <v>18</v>
      </c>
      <c r="E7" s="6" t="n">
        <v>109</v>
      </c>
      <c r="F7" s="6" t="n">
        <v>58</v>
      </c>
      <c r="G7" s="6" t="n">
        <v>127</v>
      </c>
      <c r="H7" s="7" t="n">
        <v>1000</v>
      </c>
    </row>
    <row r="8" customFormat="false" ht="14.25" hidden="false" customHeight="false" outlineLevel="0" collapsed="false">
      <c r="A8" s="8" t="s">
        <v>13</v>
      </c>
      <c r="B8" s="7" t="n">
        <v>810</v>
      </c>
      <c r="C8" s="7" t="n">
        <v>700</v>
      </c>
      <c r="D8" s="7" t="n">
        <v>650</v>
      </c>
      <c r="E8" s="7" t="n">
        <v>700</v>
      </c>
      <c r="F8" s="7" t="n">
        <v>590</v>
      </c>
      <c r="G8" s="7" t="n">
        <v>200</v>
      </c>
      <c r="H8" s="7" t="n">
        <f aca="false">SUM(H3:H7)</f>
        <v>3650</v>
      </c>
      <c r="I8" s="9" t="s">
        <v>14</v>
      </c>
      <c r="J8" s="9"/>
    </row>
    <row r="9" customFormat="false" ht="14.25" hidden="false" customHeight="false" outlineLevel="0" collapsed="false">
      <c r="H9" s="7" t="n">
        <f aca="false">SUM(B8:G8)</f>
        <v>3650</v>
      </c>
      <c r="I9" s="9" t="s">
        <v>15</v>
      </c>
      <c r="J9" s="9"/>
    </row>
    <row r="10" customFormat="false" ht="14.25" hidden="false" customHeight="false" outlineLevel="0" collapsed="false">
      <c r="B10" s="1" t="s">
        <v>16</v>
      </c>
      <c r="C10" s="1"/>
      <c r="H10" s="7"/>
    </row>
    <row r="11" customFormat="false" ht="14.25" hidden="false" customHeight="false" outlineLevel="0" collapsed="false">
      <c r="B11" s="1" t="s">
        <v>17</v>
      </c>
      <c r="C11" s="1"/>
      <c r="D11" s="1"/>
    </row>
    <row r="12" customFormat="false" ht="14.25" hidden="false" customHeight="false" outlineLevel="0" collapsed="false">
      <c r="A12" s="2"/>
      <c r="B12" s="3" t="s">
        <v>1</v>
      </c>
      <c r="C12" s="3" t="s">
        <v>2</v>
      </c>
      <c r="D12" s="3" t="s">
        <v>3</v>
      </c>
      <c r="E12" s="3" t="s">
        <v>4</v>
      </c>
      <c r="F12" s="3" t="s">
        <v>5</v>
      </c>
      <c r="G12" s="3" t="s">
        <v>6</v>
      </c>
      <c r="H12" s="4" t="s">
        <v>18</v>
      </c>
    </row>
    <row r="13" customFormat="false" ht="14.25" hidden="false" customHeight="false" outlineLevel="0" collapsed="false">
      <c r="A13" s="5" t="s">
        <v>8</v>
      </c>
      <c r="B13" s="6" t="n">
        <v>60</v>
      </c>
      <c r="C13" s="6"/>
      <c r="D13" s="6"/>
      <c r="E13" s="6"/>
      <c r="F13" s="6" t="n">
        <v>590</v>
      </c>
      <c r="G13" s="6"/>
      <c r="H13" s="7" t="n">
        <f aca="false">SUM(B13:G13)</f>
        <v>650</v>
      </c>
      <c r="I13" s="10" t="s">
        <v>19</v>
      </c>
      <c r="J13" s="7" t="n">
        <v>650</v>
      </c>
    </row>
    <row r="14" customFormat="false" ht="14.25" hidden="false" customHeight="false" outlineLevel="0" collapsed="false">
      <c r="A14" s="5" t="s">
        <v>9</v>
      </c>
      <c r="B14" s="6"/>
      <c r="C14" s="6"/>
      <c r="D14" s="6"/>
      <c r="E14" s="6" t="n">
        <v>550</v>
      </c>
      <c r="F14" s="6"/>
      <c r="G14" s="6"/>
      <c r="H14" s="7" t="n">
        <f aca="false">SUM(B14:G14)</f>
        <v>550</v>
      </c>
      <c r="I14" s="10" t="s">
        <v>19</v>
      </c>
      <c r="J14" s="7" t="n">
        <v>550</v>
      </c>
    </row>
    <row r="15" customFormat="false" ht="14.25" hidden="false" customHeight="false" outlineLevel="0" collapsed="false">
      <c r="A15" s="5" t="s">
        <v>10</v>
      </c>
      <c r="B15" s="6"/>
      <c r="C15" s="6"/>
      <c r="D15" s="6" t="n">
        <v>600</v>
      </c>
      <c r="E15" s="6"/>
      <c r="F15" s="6"/>
      <c r="G15" s="6"/>
      <c r="H15" s="7" t="n">
        <f aca="false">SUM(B15:G15)</f>
        <v>600</v>
      </c>
      <c r="I15" s="10" t="s">
        <v>19</v>
      </c>
      <c r="J15" s="7" t="n">
        <v>600</v>
      </c>
    </row>
    <row r="16" customFormat="false" ht="14.25" hidden="false" customHeight="false" outlineLevel="0" collapsed="false">
      <c r="A16" s="5" t="s">
        <v>11</v>
      </c>
      <c r="B16" s="6" t="n">
        <v>650</v>
      </c>
      <c r="C16" s="6"/>
      <c r="D16" s="6"/>
      <c r="E16" s="6"/>
      <c r="F16" s="6"/>
      <c r="G16" s="6" t="n">
        <v>200</v>
      </c>
      <c r="H16" s="7" t="n">
        <f aca="false">SUM(B16:G16)</f>
        <v>850</v>
      </c>
      <c r="I16" s="10" t="s">
        <v>19</v>
      </c>
      <c r="J16" s="7" t="n">
        <v>850</v>
      </c>
    </row>
    <row r="17" customFormat="false" ht="14.25" hidden="false" customHeight="false" outlineLevel="0" collapsed="false">
      <c r="A17" s="5" t="s">
        <v>12</v>
      </c>
      <c r="B17" s="6" t="n">
        <v>100</v>
      </c>
      <c r="C17" s="6" t="n">
        <v>700</v>
      </c>
      <c r="D17" s="6" t="n">
        <v>50</v>
      </c>
      <c r="E17" s="6" t="n">
        <v>150</v>
      </c>
      <c r="F17" s="6"/>
      <c r="G17" s="6"/>
      <c r="H17" s="7" t="n">
        <f aca="false">SUM(B17:G17)</f>
        <v>1000</v>
      </c>
      <c r="I17" s="10" t="s">
        <v>19</v>
      </c>
      <c r="J17" s="7" t="n">
        <v>1000</v>
      </c>
    </row>
    <row r="18" customFormat="false" ht="14.25" hidden="false" customHeight="false" outlineLevel="0" collapsed="false">
      <c r="A18" s="9" t="s">
        <v>20</v>
      </c>
      <c r="B18" s="10" t="n">
        <f aca="false">SUM(B13:B17)</f>
        <v>810</v>
      </c>
      <c r="C18" s="10" t="n">
        <f aca="false">SUM(C13:C17)</f>
        <v>700</v>
      </c>
      <c r="D18" s="10" t="n">
        <f aca="false">SUM(D13:D17)</f>
        <v>650</v>
      </c>
      <c r="E18" s="10" t="n">
        <f aca="false">SUM(E13:E17)</f>
        <v>700</v>
      </c>
      <c r="F18" s="10" t="n">
        <f aca="false">SUM(F13:F17)</f>
        <v>590</v>
      </c>
      <c r="G18" s="10" t="n">
        <f aca="false">SUM(G13:G17)</f>
        <v>200</v>
      </c>
    </row>
    <row r="19" customFormat="false" ht="14.25" hidden="false" customHeight="false" outlineLevel="0" collapsed="false">
      <c r="B19" s="0" t="s">
        <v>21</v>
      </c>
      <c r="C19" s="0" t="s">
        <v>21</v>
      </c>
      <c r="D19" s="0" t="s">
        <v>21</v>
      </c>
      <c r="E19" s="0" t="s">
        <v>21</v>
      </c>
      <c r="F19" s="0" t="s">
        <v>21</v>
      </c>
      <c r="G19" s="0" t="s">
        <v>21</v>
      </c>
      <c r="H19" s="7"/>
    </row>
    <row r="20" customFormat="false" ht="14.25" hidden="false" customHeight="false" outlineLevel="0" collapsed="false">
      <c r="A20" s="9" t="s">
        <v>22</v>
      </c>
      <c r="B20" s="7" t="n">
        <v>810</v>
      </c>
      <c r="C20" s="7" t="n">
        <v>700</v>
      </c>
      <c r="D20" s="7" t="n">
        <v>650</v>
      </c>
      <c r="E20" s="7" t="n">
        <v>700</v>
      </c>
      <c r="F20" s="7" t="n">
        <v>590</v>
      </c>
      <c r="G20" s="7" t="n">
        <v>200</v>
      </c>
    </row>
    <row r="22" customFormat="false" ht="14.25" hidden="false" customHeight="false" outlineLevel="0" collapsed="false">
      <c r="B22" s="11" t="s">
        <v>23</v>
      </c>
      <c r="C22" s="11" t="n">
        <f aca="false">SUMPRODUCT(MyCost,Miktar)</f>
        <v>180440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aybuke</dc:creator>
  <dc:description/>
  <dc:language>en-US</dc:language>
  <cp:lastModifiedBy>Aybüke Altunbey</cp:lastModifiedBy>
  <dcterms:modified xsi:type="dcterms:W3CDTF">2026-08-31T07:57:26Z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